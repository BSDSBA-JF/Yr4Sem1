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esktop/yr4sem1/finance/"/>
    </mc:Choice>
  </mc:AlternateContent>
  <xr:revisionPtr revIDLastSave="0" documentId="13_ncr:1_{4A68CF54-9F02-F140-91AD-36831FF5F90F}" xr6:coauthVersionLast="47" xr6:coauthVersionMax="47" xr10:uidLastSave="{00000000-0000-0000-0000-000000000000}"/>
  <bookViews>
    <workbookView xWindow="0" yWindow="0" windowWidth="28800" windowHeight="18000" xr2:uid="{B1793168-D683-3442-B2B1-2B232B97CB0C}"/>
  </bookViews>
  <sheets>
    <sheet name="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3" i="1"/>
  <c r="E53" i="1"/>
  <c r="F42" i="1"/>
  <c r="B42" i="1"/>
  <c r="F33" i="1"/>
  <c r="B33" i="1"/>
  <c r="F22" i="1"/>
  <c r="B22" i="1"/>
  <c r="F15" i="1"/>
  <c r="B15" i="1"/>
  <c r="F6" i="1"/>
  <c r="B6" i="1"/>
</calcChain>
</file>

<file path=xl/sharedStrings.xml><?xml version="1.0" encoding="utf-8"?>
<sst xmlns="http://schemas.openxmlformats.org/spreadsheetml/2006/main" count="86" uniqueCount="19">
  <si>
    <t>PV</t>
  </si>
  <si>
    <t>Compounding</t>
  </si>
  <si>
    <t>i</t>
  </si>
  <si>
    <t>n</t>
  </si>
  <si>
    <t>FV</t>
  </si>
  <si>
    <t>Discounting</t>
  </si>
  <si>
    <t>SIMPLE INTEREST</t>
  </si>
  <si>
    <t>Annual Interest Rate</t>
  </si>
  <si>
    <t>Frequency per Year</t>
  </si>
  <si>
    <t>Number of Years</t>
  </si>
  <si>
    <t>Finding the Interest Rate</t>
  </si>
  <si>
    <t>Finding the Year</t>
  </si>
  <si>
    <t>COMPOUND INTEREST (SINGLE SUM - ONLY FOUR VARIABLES)</t>
  </si>
  <si>
    <t>COMPOUND INTEREST (ANNUITIES - FIVE VARIABLES)</t>
  </si>
  <si>
    <t>Payments</t>
  </si>
  <si>
    <t>Ordinary (0) or Due (1)</t>
  </si>
  <si>
    <t>DEFERRED ANNUITY</t>
  </si>
  <si>
    <t>Number of Years to Defer/Wait</t>
  </si>
  <si>
    <t>Present Value at Year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</si>
</sst>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₱&quot;#,##0.00_);[Red]\(&quot;₱&quot;#,##0.00\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1" applyFont="1"/>
    <xf numFmtId="0" fontId="0" fillId="2" borderId="1" xfId="0" applyFill="1" applyBorder="1"/>
    <xf numFmtId="8" fontId="0" fillId="2" borderId="1" xfId="0" applyNumberFormat="1" applyFill="1" applyBorder="1"/>
    <xf numFmtId="8" fontId="0" fillId="0" borderId="0" xfId="0" applyNumberFormat="1"/>
    <xf numFmtId="10" fontId="0" fillId="2" borderId="1" xfId="0" applyNumberFormat="1" applyFill="1" applyBorder="1"/>
    <xf numFmtId="2" fontId="0" fillId="2" borderId="1" xfId="0" applyNumberFormat="1" applyFill="1" applyBorder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2" fontId="0" fillId="0" borderId="0" xfId="1" applyNumberFormat="1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8" fontId="0" fillId="0" borderId="1" xfId="0" applyNumberFormat="1" applyFill="1" applyBorder="1"/>
    <xf numFmtId="0" fontId="0" fillId="2" borderId="0" xfId="0" applyFill="1"/>
    <xf numFmtId="8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A6AD-76E2-E24D-A3E1-A64522C3BB03}">
  <dimension ref="A1:G54"/>
  <sheetViews>
    <sheetView tabSelected="1" topLeftCell="A37" zoomScale="150" workbookViewId="0">
      <selection activeCell="F55" sqref="F55"/>
    </sheetView>
  </sheetViews>
  <sheetFormatPr baseColWidth="10" defaultRowHeight="16" x14ac:dyDescent="0.2"/>
  <cols>
    <col min="1" max="1" width="26" bestFit="1" customWidth="1"/>
    <col min="5" max="5" width="29.1640625" bestFit="1" customWidth="1"/>
    <col min="6" max="6" width="11.5" bestFit="1" customWidth="1"/>
  </cols>
  <sheetData>
    <row r="1" spans="1:7" x14ac:dyDescent="0.2">
      <c r="A1" s="8" t="s">
        <v>6</v>
      </c>
      <c r="B1" s="8"/>
      <c r="C1" s="8"/>
      <c r="D1" s="8"/>
      <c r="E1" s="8"/>
      <c r="F1" s="8"/>
    </row>
    <row r="2" spans="1:7" x14ac:dyDescent="0.2">
      <c r="A2" s="7" t="s">
        <v>1</v>
      </c>
      <c r="B2" s="7"/>
      <c r="E2" s="7" t="s">
        <v>5</v>
      </c>
      <c r="F2" s="7"/>
    </row>
    <row r="3" spans="1:7" x14ac:dyDescent="0.2">
      <c r="A3" t="s">
        <v>0</v>
      </c>
      <c r="B3">
        <v>100</v>
      </c>
      <c r="E3" t="s">
        <v>4</v>
      </c>
      <c r="F3">
        <v>110</v>
      </c>
    </row>
    <row r="4" spans="1:7" x14ac:dyDescent="0.2">
      <c r="A4" t="s">
        <v>2</v>
      </c>
      <c r="B4" s="1">
        <v>0.1</v>
      </c>
      <c r="E4" t="s">
        <v>2</v>
      </c>
      <c r="F4" s="1">
        <v>0.1</v>
      </c>
    </row>
    <row r="5" spans="1:7" x14ac:dyDescent="0.2">
      <c r="A5" t="s">
        <v>3</v>
      </c>
      <c r="B5">
        <v>1</v>
      </c>
      <c r="E5" t="s">
        <v>3</v>
      </c>
      <c r="F5">
        <v>1</v>
      </c>
    </row>
    <row r="6" spans="1:7" x14ac:dyDescent="0.2">
      <c r="A6" s="2" t="s">
        <v>4</v>
      </c>
      <c r="B6" s="2">
        <f>B3*(1+B4*B5)</f>
        <v>110.00000000000001</v>
      </c>
      <c r="E6" s="2" t="s">
        <v>0</v>
      </c>
      <c r="F6" s="2">
        <f>F3/(1+F4*F5)</f>
        <v>99.999999999999986</v>
      </c>
    </row>
    <row r="9" spans="1:7" x14ac:dyDescent="0.2">
      <c r="A9" s="8" t="s">
        <v>12</v>
      </c>
      <c r="B9" s="8"/>
      <c r="C9" s="8"/>
      <c r="D9" s="8"/>
      <c r="E9" s="8"/>
      <c r="F9" s="8"/>
    </row>
    <row r="10" spans="1:7" x14ac:dyDescent="0.2">
      <c r="A10" s="7" t="s">
        <v>1</v>
      </c>
      <c r="B10" s="7"/>
      <c r="E10" s="7" t="s">
        <v>5</v>
      </c>
      <c r="F10" s="7"/>
    </row>
    <row r="11" spans="1:7" x14ac:dyDescent="0.2">
      <c r="A11" t="s">
        <v>8</v>
      </c>
      <c r="B11">
        <v>2</v>
      </c>
      <c r="E11" t="s">
        <v>8</v>
      </c>
      <c r="F11">
        <v>2</v>
      </c>
    </row>
    <row r="12" spans="1:7" x14ac:dyDescent="0.2">
      <c r="A12" t="s">
        <v>9</v>
      </c>
      <c r="B12">
        <v>1</v>
      </c>
      <c r="E12" t="s">
        <v>9</v>
      </c>
      <c r="F12">
        <v>1</v>
      </c>
    </row>
    <row r="13" spans="1:7" x14ac:dyDescent="0.2">
      <c r="A13" t="s">
        <v>7</v>
      </c>
      <c r="B13" s="1">
        <v>0.1</v>
      </c>
      <c r="E13" t="s">
        <v>7</v>
      </c>
      <c r="F13" s="1">
        <v>0.1</v>
      </c>
    </row>
    <row r="14" spans="1:7" x14ac:dyDescent="0.2">
      <c r="A14" t="s">
        <v>0</v>
      </c>
      <c r="B14">
        <v>100</v>
      </c>
      <c r="E14" t="s">
        <v>4</v>
      </c>
      <c r="F14">
        <v>110</v>
      </c>
    </row>
    <row r="15" spans="1:7" x14ac:dyDescent="0.2">
      <c r="A15" s="2" t="s">
        <v>4</v>
      </c>
      <c r="B15" s="3">
        <f>FV(B13/B11, B12*B11, 0, B14, 0)</f>
        <v>-110.25</v>
      </c>
      <c r="E15" s="2" t="s">
        <v>0</v>
      </c>
      <c r="F15" s="3">
        <f>PV(F13/F11, F12*F11, 0, F14)</f>
        <v>-99.773242630385482</v>
      </c>
      <c r="G15" s="4"/>
    </row>
    <row r="17" spans="1:6" x14ac:dyDescent="0.2">
      <c r="A17" s="7" t="s">
        <v>10</v>
      </c>
      <c r="B17" s="7"/>
      <c r="E17" s="7" t="s">
        <v>11</v>
      </c>
      <c r="F17" s="7"/>
    </row>
    <row r="18" spans="1:6" x14ac:dyDescent="0.2">
      <c r="A18" t="s">
        <v>8</v>
      </c>
      <c r="B18">
        <v>1</v>
      </c>
      <c r="E18" t="s">
        <v>8</v>
      </c>
      <c r="F18">
        <v>2</v>
      </c>
    </row>
    <row r="19" spans="1:6" x14ac:dyDescent="0.2">
      <c r="A19" t="s">
        <v>9</v>
      </c>
      <c r="B19">
        <v>8</v>
      </c>
      <c r="E19" t="s">
        <v>7</v>
      </c>
      <c r="F19" s="1">
        <v>0.1</v>
      </c>
    </row>
    <row r="20" spans="1:6" x14ac:dyDescent="0.2">
      <c r="A20" t="s">
        <v>0</v>
      </c>
      <c r="B20">
        <v>-1</v>
      </c>
      <c r="E20" t="s">
        <v>0</v>
      </c>
      <c r="F20">
        <v>-100</v>
      </c>
    </row>
    <row r="21" spans="1:6" x14ac:dyDescent="0.2">
      <c r="A21" t="s">
        <v>4</v>
      </c>
      <c r="B21">
        <v>2.5</v>
      </c>
      <c r="E21" t="s">
        <v>4</v>
      </c>
      <c r="F21">
        <v>110.25</v>
      </c>
    </row>
    <row r="22" spans="1:6" x14ac:dyDescent="0.2">
      <c r="A22" s="2" t="s">
        <v>7</v>
      </c>
      <c r="B22" s="5">
        <f>RATE(B19*B18, 0, B20, B21,0)</f>
        <v>0.12135339197013822</v>
      </c>
      <c r="E22" s="2" t="s">
        <v>9</v>
      </c>
      <c r="F22" s="6">
        <f>NPER(F19/F18, 0,F20, F21, 0) / F18</f>
        <v>0.99999999999999944</v>
      </c>
    </row>
    <row r="25" spans="1:6" x14ac:dyDescent="0.2">
      <c r="A25" s="8" t="s">
        <v>13</v>
      </c>
      <c r="B25" s="8"/>
      <c r="C25" s="8"/>
      <c r="D25" s="8"/>
      <c r="E25" s="8"/>
      <c r="F25" s="8"/>
    </row>
    <row r="26" spans="1:6" x14ac:dyDescent="0.2">
      <c r="A26" s="7" t="s">
        <v>1</v>
      </c>
      <c r="B26" s="7"/>
      <c r="E26" s="7" t="s">
        <v>5</v>
      </c>
      <c r="F26" s="7"/>
    </row>
    <row r="27" spans="1:6" x14ac:dyDescent="0.2">
      <c r="A27" t="s">
        <v>8</v>
      </c>
      <c r="B27">
        <v>1</v>
      </c>
      <c r="E27" t="s">
        <v>8</v>
      </c>
      <c r="F27">
        <v>2</v>
      </c>
    </row>
    <row r="28" spans="1:6" x14ac:dyDescent="0.2">
      <c r="A28" t="s">
        <v>9</v>
      </c>
      <c r="B28">
        <v>3</v>
      </c>
      <c r="E28" t="s">
        <v>9</v>
      </c>
      <c r="F28">
        <v>1</v>
      </c>
    </row>
    <row r="29" spans="1:6" x14ac:dyDescent="0.2">
      <c r="A29" t="s">
        <v>7</v>
      </c>
      <c r="B29" s="1">
        <v>0.08</v>
      </c>
      <c r="E29" t="s">
        <v>7</v>
      </c>
      <c r="F29" s="1">
        <v>0.1</v>
      </c>
    </row>
    <row r="30" spans="1:6" x14ac:dyDescent="0.2">
      <c r="A30" t="s">
        <v>14</v>
      </c>
      <c r="B30" s="9">
        <v>-1000</v>
      </c>
      <c r="E30" t="s">
        <v>14</v>
      </c>
      <c r="F30" s="9"/>
    </row>
    <row r="31" spans="1:6" x14ac:dyDescent="0.2">
      <c r="A31" t="s">
        <v>0</v>
      </c>
      <c r="B31">
        <v>0</v>
      </c>
      <c r="E31" t="s">
        <v>4</v>
      </c>
      <c r="F31">
        <v>110</v>
      </c>
    </row>
    <row r="32" spans="1:6" x14ac:dyDescent="0.2">
      <c r="A32" t="s">
        <v>15</v>
      </c>
      <c r="B32">
        <v>0</v>
      </c>
      <c r="E32" t="s">
        <v>15</v>
      </c>
      <c r="F32">
        <v>0</v>
      </c>
    </row>
    <row r="33" spans="1:6" ht="15" customHeight="1" x14ac:dyDescent="0.2">
      <c r="A33" s="2" t="s">
        <v>4</v>
      </c>
      <c r="B33" s="3">
        <f>FV(B29/B27, B28*B27, B30, B31, B32)</f>
        <v>3246.4000000000024</v>
      </c>
      <c r="E33" s="2" t="s">
        <v>0</v>
      </c>
      <c r="F33" s="3">
        <f>PV(F29/F27, F28*F27, F30, F31, F32)</f>
        <v>-99.773242630385482</v>
      </c>
    </row>
    <row r="35" spans="1:6" x14ac:dyDescent="0.2">
      <c r="A35" s="7" t="s">
        <v>10</v>
      </c>
      <c r="B35" s="7"/>
      <c r="E35" s="7" t="s">
        <v>11</v>
      </c>
      <c r="F35" s="7"/>
    </row>
    <row r="36" spans="1:6" x14ac:dyDescent="0.2">
      <c r="A36" t="s">
        <v>8</v>
      </c>
      <c r="B36">
        <v>1</v>
      </c>
      <c r="E36" t="s">
        <v>8</v>
      </c>
      <c r="F36">
        <v>2</v>
      </c>
    </row>
    <row r="37" spans="1:6" x14ac:dyDescent="0.2">
      <c r="A37" t="s">
        <v>9</v>
      </c>
      <c r="B37">
        <v>8</v>
      </c>
      <c r="E37" t="s">
        <v>7</v>
      </c>
      <c r="F37" s="1">
        <v>0.1</v>
      </c>
    </row>
    <row r="38" spans="1:6" x14ac:dyDescent="0.2">
      <c r="A38" t="s">
        <v>14</v>
      </c>
      <c r="B38" s="10"/>
      <c r="E38" t="s">
        <v>14</v>
      </c>
      <c r="F38" s="9"/>
    </row>
    <row r="39" spans="1:6" x14ac:dyDescent="0.2">
      <c r="A39" t="s">
        <v>0</v>
      </c>
      <c r="B39">
        <v>-1</v>
      </c>
      <c r="E39" t="s">
        <v>0</v>
      </c>
      <c r="F39">
        <v>-100</v>
      </c>
    </row>
    <row r="40" spans="1:6" x14ac:dyDescent="0.2">
      <c r="A40" t="s">
        <v>4</v>
      </c>
      <c r="B40">
        <v>2.5</v>
      </c>
      <c r="E40" t="s">
        <v>4</v>
      </c>
      <c r="F40">
        <v>110.25</v>
      </c>
    </row>
    <row r="41" spans="1:6" x14ac:dyDescent="0.2">
      <c r="A41" t="s">
        <v>15</v>
      </c>
      <c r="B41">
        <v>0</v>
      </c>
      <c r="E41" t="s">
        <v>15</v>
      </c>
      <c r="F41">
        <v>0</v>
      </c>
    </row>
    <row r="42" spans="1:6" x14ac:dyDescent="0.2">
      <c r="A42" s="2" t="s">
        <v>7</v>
      </c>
      <c r="B42" s="5">
        <f>RATE(B37*B36, B38, B39, B40, B41)</f>
        <v>0.12135339197013822</v>
      </c>
      <c r="E42" s="2" t="s">
        <v>9</v>
      </c>
      <c r="F42" s="6">
        <f>NPER(F37/F36, F38,F39, F40, F41) / F36</f>
        <v>0.99999999999999944</v>
      </c>
    </row>
    <row r="44" spans="1:6" x14ac:dyDescent="0.2">
      <c r="A44" s="12" t="s">
        <v>16</v>
      </c>
      <c r="B44" s="12"/>
      <c r="C44" s="12"/>
      <c r="D44" s="12"/>
      <c r="E44" s="12"/>
      <c r="F44" s="12"/>
    </row>
    <row r="45" spans="1:6" x14ac:dyDescent="0.2">
      <c r="A45" s="11"/>
      <c r="B45" s="11"/>
      <c r="C45" s="11"/>
      <c r="D45" s="11"/>
      <c r="E45" s="7" t="s">
        <v>5</v>
      </c>
      <c r="F45" s="7"/>
    </row>
    <row r="46" spans="1:6" x14ac:dyDescent="0.2">
      <c r="A46" t="s">
        <v>8</v>
      </c>
      <c r="B46">
        <v>1</v>
      </c>
      <c r="E46" t="s">
        <v>8</v>
      </c>
      <c r="F46">
        <v>1</v>
      </c>
    </row>
    <row r="47" spans="1:6" x14ac:dyDescent="0.2">
      <c r="A47" t="s">
        <v>9</v>
      </c>
      <c r="B47">
        <v>3</v>
      </c>
      <c r="E47" t="s">
        <v>9</v>
      </c>
      <c r="F47">
        <v>5</v>
      </c>
    </row>
    <row r="48" spans="1:6" x14ac:dyDescent="0.2">
      <c r="A48" t="s">
        <v>7</v>
      </c>
      <c r="B48" s="1">
        <v>0.08</v>
      </c>
      <c r="E48" t="s">
        <v>7</v>
      </c>
      <c r="F48" s="1">
        <v>0.06</v>
      </c>
    </row>
    <row r="49" spans="1:6" x14ac:dyDescent="0.2">
      <c r="A49" t="s">
        <v>14</v>
      </c>
      <c r="B49" s="9">
        <v>-1000</v>
      </c>
      <c r="E49" t="s">
        <v>14</v>
      </c>
      <c r="F49" s="9">
        <v>-10000</v>
      </c>
    </row>
    <row r="50" spans="1:6" x14ac:dyDescent="0.2">
      <c r="A50" t="s">
        <v>0</v>
      </c>
      <c r="B50">
        <v>0</v>
      </c>
      <c r="E50" t="s">
        <v>4</v>
      </c>
      <c r="F50">
        <v>0</v>
      </c>
    </row>
    <row r="51" spans="1:6" x14ac:dyDescent="0.2">
      <c r="A51" t="s">
        <v>15</v>
      </c>
      <c r="B51">
        <v>0</v>
      </c>
      <c r="E51" t="s">
        <v>15</v>
      </c>
      <c r="F51">
        <v>0</v>
      </c>
    </row>
    <row r="52" spans="1:6" x14ac:dyDescent="0.2">
      <c r="A52" s="13" t="s">
        <v>17</v>
      </c>
      <c r="B52" s="13">
        <v>2</v>
      </c>
      <c r="E52" t="s">
        <v>17</v>
      </c>
      <c r="F52">
        <v>3</v>
      </c>
    </row>
    <row r="53" spans="1:6" x14ac:dyDescent="0.2">
      <c r="E53" t="str">
        <f>_xlfn.CONCAT("Present Value of Annuity at Year ", (F52 - 1))</f>
        <v>Present Value of Annuity at Year 2</v>
      </c>
      <c r="F53" s="14">
        <f>PV(F48/F46, F47*F46, F49, F50, F51)</f>
        <v>42123.637855657187</v>
      </c>
    </row>
    <row r="54" spans="1:6" x14ac:dyDescent="0.2">
      <c r="E54" s="15" t="s">
        <v>18</v>
      </c>
      <c r="F54" s="16">
        <f>-PV(F48/F46, (F47-F52)*F46, 0, F53, F51)</f>
        <v>37489.887731983967</v>
      </c>
    </row>
  </sheetData>
  <mergeCells count="15">
    <mergeCell ref="A35:B35"/>
    <mergeCell ref="E35:F35"/>
    <mergeCell ref="A44:F44"/>
    <mergeCell ref="E45:F45"/>
    <mergeCell ref="A1:F1"/>
    <mergeCell ref="A9:F9"/>
    <mergeCell ref="A10:B10"/>
    <mergeCell ref="E10:F10"/>
    <mergeCell ref="A26:B26"/>
    <mergeCell ref="E26:F26"/>
    <mergeCell ref="A17:B17"/>
    <mergeCell ref="E17:F17"/>
    <mergeCell ref="A25:F25"/>
    <mergeCell ref="A2:B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Francis Y. Viray - Intern</dc:creator>
  <cp:lastModifiedBy>John Francis Y. Viray - Intern</cp:lastModifiedBy>
  <dcterms:created xsi:type="dcterms:W3CDTF">2026-09-09T03:35:06Z</dcterms:created>
  <dcterms:modified xsi:type="dcterms:W3CDTF">2026-09-09T11:10:07Z</dcterms:modified>
</cp:coreProperties>
</file>